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ord\Documents\Courses\MIS350\"/>
    </mc:Choice>
  </mc:AlternateContent>
  <xr:revisionPtr revIDLastSave="215" documentId="13_ncr:1_{747FF06D-A68E-44CC-AAA2-E82AC24A7A6B}" xr6:coauthVersionLast="47" xr6:coauthVersionMax="47" xr10:uidLastSave="{AC6E2385-272D-40F4-AFC8-58B410CCB41F}"/>
  <bookViews>
    <workbookView xWindow="-120" yWindow="-120" windowWidth="29040" windowHeight="15840" xr2:uid="{B74DAFD4-F412-44C4-8C69-6AB6157F1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25" i="1"/>
  <c r="B25" i="1"/>
  <c r="D24" i="1"/>
  <c r="B29" i="1"/>
  <c r="F24" i="1"/>
  <c r="G24" i="1"/>
  <c r="B24" i="1"/>
  <c r="E24" i="1"/>
  <c r="C24" i="1"/>
  <c r="D25" i="1"/>
  <c r="E25" i="1"/>
  <c r="F25" i="1"/>
  <c r="G25" i="1"/>
  <c r="C20" i="1"/>
  <c r="B20" i="1"/>
  <c r="E9" i="1"/>
  <c r="B14" i="1"/>
  <c r="D14" i="1"/>
  <c r="E14" i="1"/>
  <c r="F14" i="1"/>
  <c r="G14" i="1"/>
  <c r="C14" i="1"/>
  <c r="D9" i="1"/>
  <c r="F9" i="1"/>
  <c r="G9" i="1"/>
  <c r="C9" i="1"/>
  <c r="G10" i="1" l="1"/>
  <c r="F10" i="1"/>
  <c r="E10" i="1"/>
  <c r="D10" i="1"/>
  <c r="C10" i="1"/>
  <c r="G15" i="1"/>
  <c r="D15" i="1"/>
  <c r="E15" i="1"/>
  <c r="F15" i="1"/>
  <c r="B15" i="1"/>
  <c r="C15" i="1"/>
</calcChain>
</file>

<file path=xl/sharedStrings.xml><?xml version="1.0" encoding="utf-8"?>
<sst xmlns="http://schemas.openxmlformats.org/spreadsheetml/2006/main" count="23" uniqueCount="19">
  <si>
    <t>HULABALOO PARTY SUPPLIES</t>
  </si>
  <si>
    <t>Cost of Capital</t>
  </si>
  <si>
    <t>Initial Capital Expense</t>
  </si>
  <si>
    <t>Years</t>
  </si>
  <si>
    <t xml:space="preserve">Cash Inflows (Sales) </t>
  </si>
  <si>
    <t>Present Value (PV) of Cash Inflows</t>
  </si>
  <si>
    <t>Benefits</t>
  </si>
  <si>
    <t>Cost</t>
  </si>
  <si>
    <t>Initial Investment</t>
  </si>
  <si>
    <t>Costs</t>
  </si>
  <si>
    <t>Cash Outflows (Expenses)</t>
  </si>
  <si>
    <t>Present Value (PV) of Cash Outflows</t>
  </si>
  <si>
    <t xml:space="preserve">NPV (Net Present Value) </t>
  </si>
  <si>
    <t>ROI</t>
  </si>
  <si>
    <t>Breakeven Analysis</t>
  </si>
  <si>
    <t>Yearly NPV Cash Flow</t>
  </si>
  <si>
    <t>Overall NPV Cash Flow</t>
  </si>
  <si>
    <t>Break-even Ratio</t>
  </si>
  <si>
    <t>Break-even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</si>
</sst>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1" applyNumberFormat="1" applyFont="1"/>
    <xf numFmtId="164" fontId="2" fillId="0" borderId="0" xfId="1" applyNumberFormat="1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1" fontId="0" fillId="0" borderId="0" xfId="0" applyNumberFormat="1"/>
    <xf numFmtId="1" fontId="2" fillId="0" borderId="0" xfId="1" applyNumberFormat="1" applyFont="1"/>
    <xf numFmtId="0" fontId="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Cost-Benefit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Sheet1!$W$11</c:f>
              <c:strCache>
                <c:ptCount val="1"/>
                <c:pt idx="0">
                  <c:v>Benefits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Sheet1!$V$12:$V$17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Sheet1!$W$12:$W$17</c:f>
              <c:numCache>
                <c:formatCode>_(* #,##0_);_(* \(#,##0\);_(* "-"??_);_(@_)</c:formatCode>
                <c:ptCount val="6"/>
                <c:pt idx="0" formatCode="0">
                  <c:v>0</c:v>
                </c:pt>
                <c:pt idx="1">
                  <c:v>165178.57142857142</c:v>
                </c:pt>
                <c:pt idx="2">
                  <c:v>312659.43877551018</c:v>
                </c:pt>
                <c:pt idx="3">
                  <c:v>444338.78462099121</c:v>
                </c:pt>
                <c:pt idx="4">
                  <c:v>561909.62912588497</c:v>
                </c:pt>
                <c:pt idx="5">
                  <c:v>666883.59743382584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4A-491F-9931-794F78881B32}"/>
            </c:ext>
          </c:extLst>
        </c:ser>
        <c:ser>
          <c:idx val="1"/>
          <c:order val="1"/>
          <c:tx>
            <c:strRef>
              <c:f>Sheet1!$X$11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Sheet1!$V$12:$V$17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Sheet1!$X$12:$X$17</c:f>
              <c:numCache>
                <c:formatCode>General</c:formatCode>
                <c:ptCount val="6"/>
                <c:pt idx="0">
                  <c:v>275000</c:v>
                </c:pt>
                <c:pt idx="1">
                  <c:v>350892.85714285716</c:v>
                </c:pt>
                <c:pt idx="2">
                  <c:v>418654.3367346939</c:v>
                </c:pt>
                <c:pt idx="3">
                  <c:v>479155.65779883385</c:v>
                </c:pt>
                <c:pt idx="4">
                  <c:v>533174.69446324452</c:v>
                </c:pt>
                <c:pt idx="5">
                  <c:v>581405.97719932545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4A-491F-9931-794F78881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363016"/>
        <c:axId val="728365064"/>
      </c:lineChart>
      <c:catAx>
        <c:axId val="728363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65064"/>
        <c:crosses val="autoZero"/>
        <c:auto val="1"/>
        <c:lblAlgn val="ctr"/>
        <c:lblOffset val="100"/>
        <c:noMultiLvlLbl val="0"/>
      </c:catAx>
      <c:valAx>
        <c:axId val="72836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6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14</xdr:row>
      <xdr:rowOff>171450</xdr:rowOff>
    </xdr:from>
    <xdr:to>
      <xdr:col>20</xdr:col>
      <xdr:colOff>352425</xdr:colOff>
      <xdr:row>37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3F5050-ED80-3562-F48E-62DFBE6D0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A473-B8DB-4030-84BF-A5333299C6F9}">
  <dimension ref="A1:X30"/>
  <sheetViews>
    <sheetView tabSelected="1" workbookViewId="0">
      <selection activeCell="G35" sqref="G35"/>
    </sheetView>
  </sheetViews>
  <sheetFormatPr defaultRowHeight="15"/>
  <cols>
    <col min="1" max="1" width="34" bestFit="1" customWidth="1"/>
    <col min="2" max="2" width="34" customWidth="1"/>
    <col min="3" max="3" width="11.7109375" bestFit="1" customWidth="1"/>
    <col min="4" max="7" width="11.5703125" bestFit="1" customWidth="1"/>
    <col min="8" max="8" width="11" customWidth="1"/>
  </cols>
  <sheetData>
    <row r="1" spans="1:24" ht="18.75">
      <c r="A1" s="11" t="s">
        <v>0</v>
      </c>
      <c r="B1" s="11"/>
      <c r="C1" s="11"/>
      <c r="D1" s="11"/>
      <c r="E1" s="11"/>
      <c r="F1" s="11"/>
      <c r="G1" s="11"/>
      <c r="H1" s="11"/>
    </row>
    <row r="3" spans="1:24">
      <c r="A3" t="s">
        <v>1</v>
      </c>
      <c r="C3" s="2">
        <v>0.12</v>
      </c>
    </row>
    <row r="4" spans="1:24">
      <c r="A4" t="s">
        <v>2</v>
      </c>
      <c r="C4" s="3">
        <v>275000</v>
      </c>
    </row>
    <row r="7" spans="1:24">
      <c r="A7" t="s">
        <v>3</v>
      </c>
      <c r="B7" s="9"/>
      <c r="C7" s="1">
        <v>1</v>
      </c>
      <c r="D7" s="1">
        <v>2</v>
      </c>
      <c r="E7" s="1">
        <v>3</v>
      </c>
      <c r="F7" s="1">
        <v>4</v>
      </c>
      <c r="G7" s="1">
        <v>5</v>
      </c>
    </row>
    <row r="8" spans="1:24">
      <c r="A8" s="6" t="s">
        <v>4</v>
      </c>
      <c r="C8" s="3">
        <v>185000</v>
      </c>
      <c r="D8" s="3">
        <v>185000</v>
      </c>
      <c r="E8" s="3">
        <v>185000</v>
      </c>
      <c r="F8" s="3">
        <v>185000</v>
      </c>
      <c r="G8" s="3">
        <v>185000</v>
      </c>
    </row>
    <row r="9" spans="1:24">
      <c r="A9" t="s">
        <v>5</v>
      </c>
      <c r="C9" s="3">
        <f>C8/(1+$C$3)^C7</f>
        <v>165178.57142857142</v>
      </c>
      <c r="D9" s="3">
        <f t="shared" ref="D9:G9" si="0">D8/(1+$C$3)^D7</f>
        <v>147480.86734693876</v>
      </c>
      <c r="E9" s="3">
        <f>E8/(1+$C$3)^E7</f>
        <v>131679.345845481</v>
      </c>
      <c r="F9" s="3">
        <f t="shared" si="0"/>
        <v>117570.84450489377</v>
      </c>
      <c r="G9" s="3">
        <f t="shared" si="0"/>
        <v>104973.96830794086</v>
      </c>
    </row>
    <row r="10" spans="1:24">
      <c r="A10" t="s">
        <v>6</v>
      </c>
      <c r="C10" s="4">
        <f>SUM($C$9:C9)</f>
        <v>165178.57142857142</v>
      </c>
      <c r="D10" s="4">
        <f>SUM($C$9:D9)</f>
        <v>312659.43877551018</v>
      </c>
      <c r="E10" s="4">
        <f>SUM($C$9:E9)</f>
        <v>444338.78462099121</v>
      </c>
      <c r="F10" s="4">
        <f>SUM($C$9:F9)</f>
        <v>561909.62912588497</v>
      </c>
      <c r="G10" s="4">
        <f>SUM($C$9:G9)</f>
        <v>666883.59743382584</v>
      </c>
      <c r="H10" s="7"/>
      <c r="I10" s="5"/>
      <c r="N10" t="s">
        <v>3</v>
      </c>
      <c r="O10" s="9">
        <v>0</v>
      </c>
      <c r="P10" s="1">
        <v>1</v>
      </c>
      <c r="Q10" s="1">
        <v>2</v>
      </c>
      <c r="R10" s="1">
        <v>3</v>
      </c>
      <c r="S10" s="1">
        <v>4</v>
      </c>
      <c r="T10" s="1">
        <v>5</v>
      </c>
    </row>
    <row r="11" spans="1:24">
      <c r="C11" s="3"/>
      <c r="D11" s="3"/>
      <c r="E11" s="3"/>
      <c r="F11" s="3"/>
      <c r="G11" s="3"/>
      <c r="N11" t="s">
        <v>6</v>
      </c>
      <c r="O11">
        <v>0</v>
      </c>
      <c r="P11" s="4">
        <v>165178.57142857142</v>
      </c>
      <c r="Q11" s="4">
        <v>312659.43877551018</v>
      </c>
      <c r="R11" s="4">
        <v>444338.78462099121</v>
      </c>
      <c r="S11" s="4">
        <v>561909.62912588497</v>
      </c>
      <c r="T11" s="4">
        <v>666883.59743382584</v>
      </c>
      <c r="W11" t="s">
        <v>6</v>
      </c>
      <c r="X11" t="s">
        <v>7</v>
      </c>
    </row>
    <row r="12" spans="1:24">
      <c r="A12" s="6" t="s">
        <v>8</v>
      </c>
      <c r="B12" s="3">
        <v>275000</v>
      </c>
      <c r="C12" s="3"/>
      <c r="D12" s="3"/>
      <c r="E12" s="3"/>
      <c r="F12" s="3"/>
      <c r="G12" s="3"/>
      <c r="N12" t="s">
        <v>9</v>
      </c>
      <c r="O12">
        <v>275000</v>
      </c>
      <c r="P12">
        <v>350892.85714285716</v>
      </c>
      <c r="Q12">
        <v>418654.3367346939</v>
      </c>
      <c r="R12">
        <v>479155.65779883385</v>
      </c>
      <c r="S12">
        <v>533174.69446324452</v>
      </c>
      <c r="T12">
        <v>581405.97719932545</v>
      </c>
      <c r="V12">
        <v>0</v>
      </c>
      <c r="W12" s="10">
        <v>0</v>
      </c>
      <c r="X12">
        <v>275000</v>
      </c>
    </row>
    <row r="13" spans="1:24">
      <c r="A13" s="6" t="s">
        <v>10</v>
      </c>
      <c r="C13" s="3">
        <v>85000</v>
      </c>
      <c r="D13" s="3">
        <v>85000</v>
      </c>
      <c r="E13" s="3">
        <v>85000</v>
      </c>
      <c r="F13" s="3">
        <v>85000</v>
      </c>
      <c r="G13" s="3">
        <v>85000</v>
      </c>
      <c r="V13">
        <v>1</v>
      </c>
      <c r="W13" s="4">
        <v>165178.57142857142</v>
      </c>
      <c r="X13">
        <v>350892.85714285716</v>
      </c>
    </row>
    <row r="14" spans="1:24">
      <c r="A14" t="s">
        <v>11</v>
      </c>
      <c r="B14" s="5">
        <f>B12</f>
        <v>275000</v>
      </c>
      <c r="C14" s="5">
        <f>C13/(1+$C$3)^C7</f>
        <v>75892.85714285713</v>
      </c>
      <c r="D14" s="5">
        <f t="shared" ref="D14:G14" si="1">D13/(1+$C$3)^D7</f>
        <v>67761.479591836731</v>
      </c>
      <c r="E14" s="5">
        <f t="shared" si="1"/>
        <v>60501.321064139927</v>
      </c>
      <c r="F14" s="5">
        <f t="shared" si="1"/>
        <v>54019.036664410647</v>
      </c>
      <c r="G14" s="5">
        <f t="shared" si="1"/>
        <v>48231.282736080931</v>
      </c>
      <c r="V14">
        <v>2</v>
      </c>
      <c r="W14" s="4">
        <v>312659.43877551018</v>
      </c>
      <c r="X14">
        <v>418654.3367346939</v>
      </c>
    </row>
    <row r="15" spans="1:24">
      <c r="A15" t="s">
        <v>9</v>
      </c>
      <c r="B15" s="7">
        <f>SUM($B$14:B14)</f>
        <v>275000</v>
      </c>
      <c r="C15" s="7">
        <f>SUM($B$14:C14)</f>
        <v>350892.85714285716</v>
      </c>
      <c r="D15" s="7">
        <f>SUM($B$14:D14)</f>
        <v>418654.3367346939</v>
      </c>
      <c r="E15" s="7">
        <f>SUM($B$14:E14)</f>
        <v>479155.65779883385</v>
      </c>
      <c r="F15" s="7">
        <f>SUM($B$14:F14)</f>
        <v>533174.69446324452</v>
      </c>
      <c r="G15" s="7">
        <f>SUM($B$14:G14)</f>
        <v>581405.97719932545</v>
      </c>
      <c r="H15" s="7"/>
      <c r="V15">
        <v>3</v>
      </c>
      <c r="W15" s="4">
        <v>444338.78462099121</v>
      </c>
      <c r="X15">
        <v>479155.65779883385</v>
      </c>
    </row>
    <row r="16" spans="1:24">
      <c r="H16" s="5"/>
      <c r="V16">
        <v>4</v>
      </c>
      <c r="W16" s="4">
        <v>561909.62912588497</v>
      </c>
      <c r="X16">
        <v>533174.69446324452</v>
      </c>
    </row>
    <row r="17" spans="1:24">
      <c r="V17">
        <v>5</v>
      </c>
      <c r="W17" s="4">
        <v>666883.59743382584</v>
      </c>
      <c r="X17">
        <v>581405.97719932545</v>
      </c>
    </row>
    <row r="19" spans="1:24">
      <c r="A19" t="s">
        <v>12</v>
      </c>
      <c r="B19" s="5">
        <f>G10-G15</f>
        <v>85477.620234500384</v>
      </c>
    </row>
    <row r="20" spans="1:24">
      <c r="A20" t="s">
        <v>13</v>
      </c>
      <c r="B20">
        <f>((G10-G15)/G15)*100</f>
        <v>14.701881918423378</v>
      </c>
      <c r="C20">
        <f>(B19/G15)*100</f>
        <v>14.701881918423378</v>
      </c>
    </row>
    <row r="23" spans="1:24">
      <c r="A23" s="8" t="s">
        <v>14</v>
      </c>
      <c r="C23" s="5"/>
      <c r="D23" s="5"/>
      <c r="E23" s="5"/>
      <c r="F23" s="5"/>
      <c r="G23" s="5"/>
    </row>
    <row r="24" spans="1:24">
      <c r="A24" t="s">
        <v>15</v>
      </c>
      <c r="B24" s="5">
        <f t="shared" ref="B24:G24" si="2">B9-B14</f>
        <v>-275000</v>
      </c>
      <c r="C24" s="5">
        <f>C9-C14</f>
        <v>89285.71428571429</v>
      </c>
      <c r="D24" s="5">
        <f>D9-D14</f>
        <v>79719.387755102027</v>
      </c>
      <c r="E24" s="5">
        <f t="shared" si="2"/>
        <v>71178.024781341082</v>
      </c>
      <c r="F24" s="5">
        <f>F9-F14</f>
        <v>63551.807840483125</v>
      </c>
      <c r="G24" s="5">
        <f>G9-G14</f>
        <v>56742.685571859925</v>
      </c>
    </row>
    <row r="25" spans="1:24">
      <c r="A25" t="s">
        <v>16</v>
      </c>
      <c r="B25" s="5">
        <f>B10-B15</f>
        <v>-275000</v>
      </c>
      <c r="C25" s="5">
        <f>C10-C15</f>
        <v>-185714.28571428574</v>
      </c>
      <c r="D25" s="5">
        <f t="shared" ref="D25:G25" si="3">D10-D15</f>
        <v>-105994.89795918373</v>
      </c>
      <c r="E25" s="5">
        <f t="shared" si="3"/>
        <v>-34816.873177842645</v>
      </c>
      <c r="F25" s="5">
        <f t="shared" si="3"/>
        <v>28734.934662640444</v>
      </c>
      <c r="G25" s="5">
        <f t="shared" si="3"/>
        <v>85477.620234500384</v>
      </c>
    </row>
    <row r="29" spans="1:24">
      <c r="A29" t="s">
        <v>17</v>
      </c>
      <c r="B29">
        <f>((F24-F25)/F24)</f>
        <v>0.54785024000000182</v>
      </c>
    </row>
    <row r="30" spans="1:24">
      <c r="A30" t="s">
        <v>18</v>
      </c>
      <c r="B30">
        <v>3.54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Kimberly A. Ford</dc:creator>
  <cp:keywords/>
  <dc:description/>
  <cp:lastModifiedBy>Joshua Schwenk</cp:lastModifiedBy>
  <cp:revision/>
  <dcterms:created xsi:type="dcterms:W3CDTF">2023-05-22T20:43:19Z</dcterms:created>
  <dcterms:modified xsi:type="dcterms:W3CDTF">2025-06-15T00:15:07Z</dcterms:modified>
  <cp:category/>
  <cp:contentStatus/>
</cp:coreProperties>
</file>